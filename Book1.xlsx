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du\OneDrive\Documents\Excel Workbook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7" i="1" l="1"/>
  <c r="B61" i="1"/>
  <c r="B62" i="1"/>
  <c r="B63" i="1"/>
  <c r="B64" i="1"/>
  <c r="B65" i="1"/>
  <c r="B66" i="1"/>
  <c r="B60" i="1"/>
  <c r="E56" i="1"/>
  <c r="D56" i="1"/>
  <c r="C56" i="1"/>
  <c r="B56" i="1"/>
  <c r="G53" i="1"/>
  <c r="F53" i="1"/>
  <c r="E53" i="1"/>
  <c r="D53" i="1"/>
  <c r="C53" i="1"/>
  <c r="B53" i="1"/>
  <c r="I43" i="1"/>
  <c r="I44" i="1"/>
  <c r="I45" i="1"/>
  <c r="I46" i="1"/>
  <c r="I47" i="1"/>
  <c r="I48" i="1"/>
  <c r="I49" i="1"/>
  <c r="I42" i="1"/>
  <c r="H49" i="1"/>
  <c r="H48" i="1"/>
  <c r="H47" i="1"/>
  <c r="H46" i="1"/>
  <c r="H45" i="1"/>
  <c r="H44" i="1"/>
  <c r="H43" i="1"/>
  <c r="H42" i="1"/>
  <c r="G43" i="1"/>
  <c r="G44" i="1"/>
  <c r="G45" i="1"/>
  <c r="G46" i="1"/>
  <c r="G47" i="1"/>
  <c r="G48" i="1"/>
  <c r="G49" i="1"/>
  <c r="G42" i="1"/>
  <c r="F43" i="1"/>
  <c r="F44" i="1"/>
  <c r="F45" i="1"/>
  <c r="F46" i="1"/>
  <c r="F47" i="1"/>
  <c r="F48" i="1"/>
  <c r="F49" i="1"/>
  <c r="F42" i="1"/>
  <c r="E43" i="1"/>
  <c r="E44" i="1"/>
  <c r="E45" i="1"/>
  <c r="E46" i="1"/>
  <c r="E47" i="1"/>
  <c r="E48" i="1"/>
  <c r="E49" i="1"/>
  <c r="E42" i="1"/>
  <c r="D43" i="1"/>
  <c r="D44" i="1"/>
  <c r="D45" i="1"/>
  <c r="D46" i="1"/>
  <c r="D47" i="1"/>
  <c r="D48" i="1"/>
  <c r="D49" i="1"/>
  <c r="D42" i="1"/>
  <c r="B43" i="1"/>
  <c r="B44" i="1"/>
  <c r="B45" i="1"/>
  <c r="B46" i="1"/>
  <c r="B47" i="1"/>
  <c r="B48" i="1"/>
  <c r="B49" i="1"/>
  <c r="B42" i="1"/>
  <c r="H13" i="1"/>
  <c r="H14" i="1"/>
  <c r="H15" i="1"/>
  <c r="H16" i="1"/>
  <c r="H17" i="1"/>
  <c r="H18" i="1"/>
  <c r="H19" i="1"/>
  <c r="H12" i="1"/>
  <c r="G13" i="1"/>
  <c r="G14" i="1"/>
  <c r="G15" i="1"/>
  <c r="G16" i="1"/>
  <c r="G17" i="1"/>
  <c r="G18" i="1"/>
  <c r="G19" i="1"/>
  <c r="G12" i="1"/>
  <c r="B33" i="1"/>
  <c r="B34" i="1"/>
  <c r="B35" i="1"/>
  <c r="B36" i="1"/>
  <c r="B37" i="1"/>
  <c r="B38" i="1"/>
  <c r="B39" i="1"/>
  <c r="B32" i="1"/>
  <c r="B23" i="1"/>
  <c r="B24" i="1"/>
  <c r="B25" i="1"/>
  <c r="B26" i="1"/>
  <c r="B27" i="1"/>
  <c r="B28" i="1"/>
  <c r="B29" i="1"/>
  <c r="B22" i="1"/>
  <c r="K13" i="1"/>
  <c r="K14" i="1"/>
  <c r="K15" i="1"/>
  <c r="K16" i="1"/>
  <c r="K17" i="1"/>
  <c r="K18" i="1"/>
  <c r="K19" i="1"/>
  <c r="K12" i="1"/>
  <c r="C13" i="1"/>
  <c r="C14" i="1"/>
  <c r="C15" i="1"/>
  <c r="C16" i="1"/>
  <c r="C17" i="1"/>
  <c r="C18" i="1"/>
  <c r="C19" i="1"/>
  <c r="C12" i="1"/>
  <c r="B13" i="1"/>
  <c r="B14" i="1"/>
  <c r="B15" i="1"/>
  <c r="B16" i="1"/>
  <c r="B17" i="1"/>
  <c r="B18" i="1"/>
  <c r="B19" i="1"/>
  <c r="B12" i="1"/>
</calcChain>
</file>

<file path=xl/sharedStrings.xml><?xml version="1.0" encoding="utf-8"?>
<sst xmlns="http://schemas.openxmlformats.org/spreadsheetml/2006/main" count="93" uniqueCount="66">
  <si>
    <t>Student ID</t>
  </si>
  <si>
    <t>Full Name</t>
  </si>
  <si>
    <t>Gender</t>
  </si>
  <si>
    <t>DOB</t>
  </si>
  <si>
    <t>Join Date</t>
  </si>
  <si>
    <t>Login Time</t>
  </si>
  <si>
    <t>City</t>
  </si>
  <si>
    <t>Course</t>
  </si>
  <si>
    <t>Marks</t>
  </si>
  <si>
    <t>Attendance %</t>
  </si>
  <si>
    <t>Fee Paid</t>
  </si>
  <si>
    <t>ST101</t>
  </si>
  <si>
    <t>rahul sharma</t>
  </si>
  <si>
    <t>Male</t>
  </si>
  <si>
    <t>pune</t>
  </si>
  <si>
    <t>Data Analytics</t>
  </si>
  <si>
    <t>Yes</t>
  </si>
  <si>
    <t>ST102</t>
  </si>
  <si>
    <t>anita singh</t>
  </si>
  <si>
    <t>Female</t>
  </si>
  <si>
    <t>mumbai</t>
  </si>
  <si>
    <t>Python</t>
  </si>
  <si>
    <t>No</t>
  </si>
  <si>
    <t>ST103</t>
  </si>
  <si>
    <t>rohit kumar</t>
  </si>
  <si>
    <t>Excel</t>
  </si>
  <si>
    <t>ST104</t>
  </si>
  <si>
    <t>neha patil</t>
  </si>
  <si>
    <t>nagpur</t>
  </si>
  <si>
    <t>SQL</t>
  </si>
  <si>
    <t>ST105</t>
  </si>
  <si>
    <t>amit shah</t>
  </si>
  <si>
    <t>Power BI</t>
  </si>
  <si>
    <t>ST106</t>
  </si>
  <si>
    <t>priya joshi</t>
  </si>
  <si>
    <t>nashik</t>
  </si>
  <si>
    <t>Machine Learning</t>
  </si>
  <si>
    <t>ST107</t>
  </si>
  <si>
    <t>karan more</t>
  </si>
  <si>
    <t>ST108</t>
  </si>
  <si>
    <t>sneha kulkarni</t>
  </si>
  <si>
    <t>Proper Case</t>
  </si>
  <si>
    <t>Upper Case</t>
  </si>
  <si>
    <t>Number of Characters</t>
  </si>
  <si>
    <t>Extract Last Name</t>
  </si>
  <si>
    <t>Extract First Name</t>
  </si>
  <si>
    <t xml:space="preserve">Combine Student ID and full Name </t>
  </si>
  <si>
    <t>Age</t>
  </si>
  <si>
    <t>Month Name</t>
  </si>
  <si>
    <t>Join Day Name</t>
  </si>
  <si>
    <t>Days Student Enroll</t>
  </si>
  <si>
    <t>Hour &amp; Minute</t>
  </si>
  <si>
    <t xml:space="preserve">Mumbai </t>
  </si>
  <si>
    <t>Pune</t>
  </si>
  <si>
    <t xml:space="preserve">Count Student </t>
  </si>
  <si>
    <t>Score 80+</t>
  </si>
  <si>
    <t>Fees Paid</t>
  </si>
  <si>
    <t>Pune stud. 90%</t>
  </si>
  <si>
    <t>Female Stud.</t>
  </si>
  <si>
    <t>Total Marks</t>
  </si>
  <si>
    <t>Average</t>
  </si>
  <si>
    <t>Highest Marks</t>
  </si>
  <si>
    <t>Lowest Marks</t>
  </si>
  <si>
    <t>IF / IFS / Nested IF</t>
  </si>
  <si>
    <t>Pass or Fail</t>
  </si>
  <si>
    <t>Eligible or Ineligible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</si>
</sst>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NumberFormat="1"/>
    <xf numFmtId="14" fontId="2" fillId="0" borderId="0" xfId="0" applyNumberFormat="1" applyFont="1"/>
    <xf numFmtId="164" fontId="2" fillId="0" borderId="0" xfId="0" applyNumberFormat="1" applyFont="1"/>
    <xf numFmtId="0" fontId="1" fillId="0" borderId="0" xfId="0" applyFont="1"/>
    <xf numFmtId="0" fontId="1" fillId="0" borderId="0" xfId="0" applyFont="1" applyAlignment="1"/>
    <xf numFmtId="0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topLeftCell="A43" workbookViewId="0">
      <selection activeCell="H47" sqref="H47"/>
    </sheetView>
  </sheetViews>
  <sheetFormatPr defaultRowHeight="14.4"/>
  <cols>
    <col min="2" max="2" width="17.88671875" customWidth="1"/>
    <col min="3" max="3" width="13.109375" customWidth="1"/>
    <col min="4" max="4" width="12.77734375" customWidth="1"/>
    <col min="5" max="5" width="12.21875" customWidth="1"/>
    <col min="6" max="6" width="13.77734375" customWidth="1"/>
    <col min="7" max="7" width="18.109375" customWidth="1"/>
    <col min="8" max="8" width="22.332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3">
        <v>37271</v>
      </c>
      <c r="E2" s="3">
        <v>46183</v>
      </c>
      <c r="F2" s="4">
        <v>0.38541666666666669</v>
      </c>
      <c r="G2" s="1" t="s">
        <v>14</v>
      </c>
      <c r="H2" s="1" t="s">
        <v>15</v>
      </c>
      <c r="I2" s="1">
        <v>85</v>
      </c>
      <c r="J2" s="1">
        <v>92</v>
      </c>
      <c r="K2" s="1" t="s">
        <v>16</v>
      </c>
    </row>
    <row r="3" spans="1:11">
      <c r="A3" s="1" t="s">
        <v>17</v>
      </c>
      <c r="B3" s="1" t="s">
        <v>18</v>
      </c>
      <c r="C3" s="1" t="s">
        <v>19</v>
      </c>
      <c r="D3" s="3">
        <v>37033</v>
      </c>
      <c r="E3" s="3">
        <v>46185</v>
      </c>
      <c r="F3" s="4">
        <v>0.40625</v>
      </c>
      <c r="G3" s="1" t="s">
        <v>20</v>
      </c>
      <c r="H3" s="1" t="s">
        <v>21</v>
      </c>
      <c r="I3" s="1">
        <v>45</v>
      </c>
      <c r="J3" s="1">
        <v>70</v>
      </c>
      <c r="K3" s="1" t="s">
        <v>22</v>
      </c>
    </row>
    <row r="4" spans="1:11">
      <c r="A4" s="1" t="s">
        <v>23</v>
      </c>
      <c r="B4" s="1" t="s">
        <v>24</v>
      </c>
      <c r="C4" s="1" t="s">
        <v>13</v>
      </c>
      <c r="D4" s="3">
        <v>37912</v>
      </c>
      <c r="E4" s="3">
        <v>46188</v>
      </c>
      <c r="F4" s="4">
        <v>0.4201388888888889</v>
      </c>
      <c r="G4" s="1" t="s">
        <v>14</v>
      </c>
      <c r="H4" s="1" t="s">
        <v>25</v>
      </c>
      <c r="I4" s="1">
        <v>72</v>
      </c>
      <c r="J4" s="1">
        <v>85</v>
      </c>
      <c r="K4" s="1" t="s">
        <v>16</v>
      </c>
    </row>
    <row r="5" spans="1:11">
      <c r="A5" s="1" t="s">
        <v>26</v>
      </c>
      <c r="B5" s="1" t="s">
        <v>27</v>
      </c>
      <c r="C5" s="1" t="s">
        <v>19</v>
      </c>
      <c r="D5" s="3">
        <v>37324</v>
      </c>
      <c r="E5" s="3">
        <v>46191</v>
      </c>
      <c r="F5" s="4">
        <v>0.375</v>
      </c>
      <c r="G5" s="1" t="s">
        <v>28</v>
      </c>
      <c r="H5" s="1" t="s">
        <v>29</v>
      </c>
      <c r="I5" s="1">
        <v>30</v>
      </c>
      <c r="J5" s="1">
        <v>60</v>
      </c>
      <c r="K5" s="1" t="s">
        <v>22</v>
      </c>
    </row>
    <row r="6" spans="1:11">
      <c r="A6" s="1" t="s">
        <v>30</v>
      </c>
      <c r="B6" s="1" t="s">
        <v>31</v>
      </c>
      <c r="C6" s="1" t="s">
        <v>13</v>
      </c>
      <c r="D6" s="3">
        <v>36708</v>
      </c>
      <c r="E6" s="3">
        <v>46193</v>
      </c>
      <c r="F6" s="4">
        <v>0.39583333333333331</v>
      </c>
      <c r="G6" s="1" t="s">
        <v>14</v>
      </c>
      <c r="H6" s="1" t="s">
        <v>32</v>
      </c>
      <c r="I6" s="1">
        <v>91</v>
      </c>
      <c r="J6" s="1">
        <v>98</v>
      </c>
      <c r="K6" s="1" t="s">
        <v>16</v>
      </c>
    </row>
    <row r="7" spans="1:11">
      <c r="A7" s="1" t="s">
        <v>33</v>
      </c>
      <c r="B7" s="1" t="s">
        <v>34</v>
      </c>
      <c r="C7" s="1" t="s">
        <v>19</v>
      </c>
      <c r="D7" s="3">
        <v>37588</v>
      </c>
      <c r="E7" s="3">
        <v>46194</v>
      </c>
      <c r="F7" s="4">
        <v>0.42708333333333331</v>
      </c>
      <c r="G7" s="1" t="s">
        <v>35</v>
      </c>
      <c r="H7" s="1" t="s">
        <v>36</v>
      </c>
      <c r="I7" s="1">
        <v>65</v>
      </c>
      <c r="J7" s="1">
        <v>78</v>
      </c>
      <c r="K7" s="1" t="s">
        <v>16</v>
      </c>
    </row>
    <row r="8" spans="1:11">
      <c r="A8" s="1" t="s">
        <v>37</v>
      </c>
      <c r="B8" s="1" t="s">
        <v>38</v>
      </c>
      <c r="C8" s="1" t="s">
        <v>13</v>
      </c>
      <c r="D8" s="3">
        <v>37117</v>
      </c>
      <c r="E8" s="3">
        <v>46198</v>
      </c>
      <c r="F8" s="4">
        <v>0.3888888888888889</v>
      </c>
      <c r="G8" s="1" t="s">
        <v>20</v>
      </c>
      <c r="H8" s="1" t="s">
        <v>25</v>
      </c>
      <c r="I8" s="1">
        <v>50</v>
      </c>
      <c r="J8" s="1">
        <v>82</v>
      </c>
      <c r="K8" s="1" t="s">
        <v>22</v>
      </c>
    </row>
    <row r="9" spans="1:11">
      <c r="A9" s="1" t="s">
        <v>39</v>
      </c>
      <c r="B9" s="1" t="s">
        <v>40</v>
      </c>
      <c r="C9" s="1" t="s">
        <v>19</v>
      </c>
      <c r="D9" s="3">
        <v>37657</v>
      </c>
      <c r="E9" s="3">
        <v>46201</v>
      </c>
      <c r="F9" s="4">
        <v>0.38194444444444442</v>
      </c>
      <c r="G9" s="1" t="s">
        <v>14</v>
      </c>
      <c r="H9" s="1" t="s">
        <v>29</v>
      </c>
      <c r="I9" s="1">
        <v>95</v>
      </c>
      <c r="J9" s="1">
        <v>99</v>
      </c>
      <c r="K9" s="1" t="s">
        <v>16</v>
      </c>
    </row>
    <row r="11" spans="1:11">
      <c r="B11" s="5" t="s">
        <v>41</v>
      </c>
      <c r="C11" s="1" t="s">
        <v>41</v>
      </c>
      <c r="G11" s="1" t="s">
        <v>42</v>
      </c>
      <c r="H11" s="1" t="s">
        <v>43</v>
      </c>
    </row>
    <row r="12" spans="1:11">
      <c r="A12" s="1" t="s">
        <v>11</v>
      </c>
      <c r="B12" t="str">
        <f t="shared" ref="B12:C19" si="0">PROPER(B2)</f>
        <v>Rahul Sharma</v>
      </c>
      <c r="C12" t="str">
        <f t="shared" si="0"/>
        <v>Male</v>
      </c>
      <c r="G12" t="str">
        <f t="shared" ref="G12:G19" si="1">UPPER(G2)</f>
        <v>PUNE</v>
      </c>
      <c r="H12">
        <f t="shared" ref="H12:H19" si="2">LEN(H2)</f>
        <v>14</v>
      </c>
      <c r="K12" t="str">
        <f t="shared" ref="K12:K19" si="3">PROPER(K2)</f>
        <v>Yes</v>
      </c>
    </row>
    <row r="13" spans="1:11">
      <c r="A13" s="1" t="s">
        <v>17</v>
      </c>
      <c r="B13" t="str">
        <f t="shared" si="0"/>
        <v>Anita Singh</v>
      </c>
      <c r="C13" t="str">
        <f t="shared" si="0"/>
        <v>Female</v>
      </c>
      <c r="G13" t="str">
        <f t="shared" si="1"/>
        <v>MUMBAI</v>
      </c>
      <c r="H13">
        <f t="shared" si="2"/>
        <v>6</v>
      </c>
      <c r="K13" t="str">
        <f t="shared" si="3"/>
        <v>No</v>
      </c>
    </row>
    <row r="14" spans="1:11">
      <c r="A14" s="1" t="s">
        <v>23</v>
      </c>
      <c r="B14" t="str">
        <f t="shared" si="0"/>
        <v>Rohit Kumar</v>
      </c>
      <c r="C14" t="str">
        <f t="shared" si="0"/>
        <v>Male</v>
      </c>
      <c r="G14" t="str">
        <f t="shared" si="1"/>
        <v>PUNE</v>
      </c>
      <c r="H14">
        <f t="shared" si="2"/>
        <v>5</v>
      </c>
      <c r="K14" t="str">
        <f t="shared" si="3"/>
        <v>Yes</v>
      </c>
    </row>
    <row r="15" spans="1:11">
      <c r="A15" s="1" t="s">
        <v>26</v>
      </c>
      <c r="B15" t="str">
        <f t="shared" si="0"/>
        <v>Neha Patil</v>
      </c>
      <c r="C15" t="str">
        <f t="shared" si="0"/>
        <v>Female</v>
      </c>
      <c r="G15" t="str">
        <f t="shared" si="1"/>
        <v>NAGPUR</v>
      </c>
      <c r="H15">
        <f t="shared" si="2"/>
        <v>3</v>
      </c>
      <c r="K15" t="str">
        <f t="shared" si="3"/>
        <v>No</v>
      </c>
    </row>
    <row r="16" spans="1:11">
      <c r="A16" s="1" t="s">
        <v>30</v>
      </c>
      <c r="B16" t="str">
        <f t="shared" si="0"/>
        <v>Amit Shah</v>
      </c>
      <c r="C16" t="str">
        <f t="shared" si="0"/>
        <v>Male</v>
      </c>
      <c r="G16" t="str">
        <f t="shared" si="1"/>
        <v>PUNE</v>
      </c>
      <c r="H16">
        <f t="shared" si="2"/>
        <v>8</v>
      </c>
      <c r="K16" t="str">
        <f t="shared" si="3"/>
        <v>Yes</v>
      </c>
    </row>
    <row r="17" spans="1:11">
      <c r="A17" s="1" t="s">
        <v>33</v>
      </c>
      <c r="B17" t="str">
        <f t="shared" si="0"/>
        <v>Priya Joshi</v>
      </c>
      <c r="C17" t="str">
        <f t="shared" si="0"/>
        <v>Female</v>
      </c>
      <c r="G17" t="str">
        <f t="shared" si="1"/>
        <v>NASHIK</v>
      </c>
      <c r="H17">
        <f t="shared" si="2"/>
        <v>16</v>
      </c>
      <c r="K17" t="str">
        <f t="shared" si="3"/>
        <v>Yes</v>
      </c>
    </row>
    <row r="18" spans="1:11">
      <c r="A18" s="1" t="s">
        <v>37</v>
      </c>
      <c r="B18" t="str">
        <f t="shared" si="0"/>
        <v>Karan More</v>
      </c>
      <c r="C18" t="str">
        <f t="shared" si="0"/>
        <v>Male</v>
      </c>
      <c r="G18" t="str">
        <f t="shared" si="1"/>
        <v>MUMBAI</v>
      </c>
      <c r="H18">
        <f t="shared" si="2"/>
        <v>5</v>
      </c>
      <c r="K18" t="str">
        <f t="shared" si="3"/>
        <v>No</v>
      </c>
    </row>
    <row r="19" spans="1:11">
      <c r="A19" s="1" t="s">
        <v>39</v>
      </c>
      <c r="B19" t="str">
        <f t="shared" si="0"/>
        <v>Sneha Kulkarni</v>
      </c>
      <c r="C19" t="str">
        <f t="shared" si="0"/>
        <v>Female</v>
      </c>
      <c r="G19" t="str">
        <f t="shared" si="1"/>
        <v>PUNE</v>
      </c>
      <c r="H19">
        <f t="shared" si="2"/>
        <v>3</v>
      </c>
      <c r="K19" t="str">
        <f t="shared" si="3"/>
        <v>Yes</v>
      </c>
    </row>
    <row r="21" spans="1:11">
      <c r="B21" s="5" t="s">
        <v>45</v>
      </c>
    </row>
    <row r="22" spans="1:11">
      <c r="B22" t="str">
        <f t="shared" ref="B22:B29" si="4">LEFT(B12,FIND(" ",B12)-1)</f>
        <v>Rahul</v>
      </c>
    </row>
    <row r="23" spans="1:11">
      <c r="B23" t="str">
        <f t="shared" si="4"/>
        <v>Anita</v>
      </c>
    </row>
    <row r="24" spans="1:11">
      <c r="B24" t="str">
        <f t="shared" si="4"/>
        <v>Rohit</v>
      </c>
    </row>
    <row r="25" spans="1:11">
      <c r="B25" t="str">
        <f t="shared" si="4"/>
        <v>Neha</v>
      </c>
    </row>
    <row r="26" spans="1:11">
      <c r="B26" t="str">
        <f t="shared" si="4"/>
        <v>Amit</v>
      </c>
    </row>
    <row r="27" spans="1:11">
      <c r="B27" t="str">
        <f t="shared" si="4"/>
        <v>Priya</v>
      </c>
    </row>
    <row r="28" spans="1:11">
      <c r="B28" t="str">
        <f t="shared" si="4"/>
        <v>Karan</v>
      </c>
    </row>
    <row r="29" spans="1:11">
      <c r="B29" t="str">
        <f t="shared" si="4"/>
        <v>Sneha</v>
      </c>
    </row>
    <row r="31" spans="1:11">
      <c r="B31" s="5" t="s">
        <v>44</v>
      </c>
    </row>
    <row r="32" spans="1:11">
      <c r="B32" t="str">
        <f t="shared" ref="B32:B39" si="5">RIGHT(B12,LEN(B12)-FIND(" ",B12))</f>
        <v>Sharma</v>
      </c>
    </row>
    <row r="33" spans="2:9">
      <c r="B33" t="str">
        <f t="shared" si="5"/>
        <v>Singh</v>
      </c>
    </row>
    <row r="34" spans="2:9">
      <c r="B34" t="str">
        <f t="shared" si="5"/>
        <v>Kumar</v>
      </c>
    </row>
    <row r="35" spans="2:9">
      <c r="B35" t="str">
        <f t="shared" si="5"/>
        <v>Patil</v>
      </c>
    </row>
    <row r="36" spans="2:9">
      <c r="B36" t="str">
        <f t="shared" si="5"/>
        <v>Shah</v>
      </c>
    </row>
    <row r="37" spans="2:9">
      <c r="B37" t="str">
        <f t="shared" si="5"/>
        <v>Joshi</v>
      </c>
    </row>
    <row r="38" spans="2:9">
      <c r="B38" t="str">
        <f t="shared" si="5"/>
        <v>More</v>
      </c>
    </row>
    <row r="39" spans="2:9">
      <c r="B39" t="str">
        <f t="shared" si="5"/>
        <v>Kulkarni</v>
      </c>
    </row>
    <row r="41" spans="2:9">
      <c r="B41" s="6" t="s">
        <v>46</v>
      </c>
      <c r="C41" s="5"/>
      <c r="D41" s="5" t="s">
        <v>47</v>
      </c>
      <c r="E41" s="5" t="s">
        <v>48</v>
      </c>
      <c r="F41" s="5" t="s">
        <v>49</v>
      </c>
      <c r="G41" s="5" t="s">
        <v>50</v>
      </c>
      <c r="H41" s="8" t="s">
        <v>51</v>
      </c>
      <c r="I41" s="8"/>
    </row>
    <row r="42" spans="2:9">
      <c r="B42" t="str">
        <f t="shared" ref="B42:B49" si="6">A12&amp;"-"&amp;B12</f>
        <v>ST101-Rahul Sharma</v>
      </c>
      <c r="D42">
        <f t="shared" ref="D42:D49" ca="1" si="7">DATEDIF(D2,TODAY(),"Y")</f>
        <v>24</v>
      </c>
      <c r="E42" t="str">
        <f t="shared" ref="E42:E49" si="8">TEXT(D2,"mmmm")</f>
        <v>January</v>
      </c>
      <c r="F42" t="str">
        <f>TEXT(E2,"dddd")</f>
        <v>Wednesday</v>
      </c>
      <c r="G42" s="2">
        <f ca="1">TODAY( )-E2</f>
        <v>16</v>
      </c>
      <c r="H42">
        <f>HOUR(F2)</f>
        <v>9</v>
      </c>
      <c r="I42">
        <f>MINUTE(F2)</f>
        <v>15</v>
      </c>
    </row>
    <row r="43" spans="2:9">
      <c r="B43" t="str">
        <f t="shared" si="6"/>
        <v>ST102-Anita Singh</v>
      </c>
      <c r="D43">
        <f t="shared" ca="1" si="7"/>
        <v>25</v>
      </c>
      <c r="E43" t="str">
        <f t="shared" si="8"/>
        <v>May</v>
      </c>
      <c r="F43" t="str">
        <f t="shared" ref="F43:F49" si="9">TEXT(E3,"dddd")</f>
        <v>Friday</v>
      </c>
      <c r="G43" s="2">
        <f t="shared" ref="G43:G49" ca="1" si="10">TODAY( )-E3</f>
        <v>14</v>
      </c>
      <c r="H43">
        <f t="shared" ref="H43:H49" si="11">HOUR(F3)</f>
        <v>9</v>
      </c>
      <c r="I43">
        <f t="shared" ref="I43:I49" si="12">MINUTE(F3)</f>
        <v>45</v>
      </c>
    </row>
    <row r="44" spans="2:9">
      <c r="B44" t="str">
        <f t="shared" si="6"/>
        <v>ST103-Rohit Kumar</v>
      </c>
      <c r="D44">
        <f t="shared" ca="1" si="7"/>
        <v>22</v>
      </c>
      <c r="E44" t="str">
        <f t="shared" si="8"/>
        <v>October</v>
      </c>
      <c r="F44" t="str">
        <f t="shared" si="9"/>
        <v>Monday</v>
      </c>
      <c r="G44" s="2">
        <f t="shared" ca="1" si="10"/>
        <v>11</v>
      </c>
      <c r="H44">
        <f t="shared" si="11"/>
        <v>10</v>
      </c>
      <c r="I44">
        <f t="shared" si="12"/>
        <v>5</v>
      </c>
    </row>
    <row r="45" spans="2:9">
      <c r="B45" t="str">
        <f t="shared" si="6"/>
        <v>ST104-Neha Patil</v>
      </c>
      <c r="D45">
        <f t="shared" ca="1" si="7"/>
        <v>24</v>
      </c>
      <c r="E45" t="str">
        <f t="shared" si="8"/>
        <v>March</v>
      </c>
      <c r="F45" t="str">
        <f t="shared" si="9"/>
        <v>Thursday</v>
      </c>
      <c r="G45" s="2">
        <f t="shared" ca="1" si="10"/>
        <v>8</v>
      </c>
      <c r="H45">
        <f t="shared" si="11"/>
        <v>9</v>
      </c>
      <c r="I45">
        <f t="shared" si="12"/>
        <v>0</v>
      </c>
    </row>
    <row r="46" spans="2:9">
      <c r="B46" t="str">
        <f t="shared" si="6"/>
        <v>ST105-Amit Shah</v>
      </c>
      <c r="D46">
        <f t="shared" ca="1" si="7"/>
        <v>25</v>
      </c>
      <c r="E46" t="str">
        <f t="shared" si="8"/>
        <v>July</v>
      </c>
      <c r="F46" t="str">
        <f t="shared" si="9"/>
        <v>Saturday</v>
      </c>
      <c r="G46" s="2">
        <f t="shared" ca="1" si="10"/>
        <v>6</v>
      </c>
      <c r="H46">
        <f t="shared" si="11"/>
        <v>9</v>
      </c>
      <c r="I46">
        <f t="shared" si="12"/>
        <v>30</v>
      </c>
    </row>
    <row r="47" spans="2:9">
      <c r="B47" t="str">
        <f t="shared" si="6"/>
        <v>ST106-Priya Joshi</v>
      </c>
      <c r="D47">
        <f t="shared" ca="1" si="7"/>
        <v>23</v>
      </c>
      <c r="E47" t="str">
        <f t="shared" si="8"/>
        <v>November</v>
      </c>
      <c r="F47" t="str">
        <f t="shared" si="9"/>
        <v>Sunday</v>
      </c>
      <c r="G47" s="2">
        <f t="shared" ca="1" si="10"/>
        <v>5</v>
      </c>
      <c r="H47">
        <f t="shared" si="11"/>
        <v>10</v>
      </c>
      <c r="I47">
        <f t="shared" si="12"/>
        <v>15</v>
      </c>
    </row>
    <row r="48" spans="2:9">
      <c r="B48" t="str">
        <f t="shared" si="6"/>
        <v>ST107-Karan More</v>
      </c>
      <c r="D48">
        <f t="shared" ca="1" si="7"/>
        <v>24</v>
      </c>
      <c r="E48" t="str">
        <f t="shared" si="8"/>
        <v>August</v>
      </c>
      <c r="F48" t="str">
        <f t="shared" si="9"/>
        <v>Thursday</v>
      </c>
      <c r="G48" s="2">
        <f t="shared" ca="1" si="10"/>
        <v>1</v>
      </c>
      <c r="H48">
        <f t="shared" si="11"/>
        <v>9</v>
      </c>
      <c r="I48">
        <f t="shared" si="12"/>
        <v>20</v>
      </c>
    </row>
    <row r="49" spans="2:9">
      <c r="B49" t="str">
        <f t="shared" si="6"/>
        <v>ST108-Sneha Kulkarni</v>
      </c>
      <c r="D49">
        <f t="shared" ca="1" si="7"/>
        <v>23</v>
      </c>
      <c r="E49" t="str">
        <f t="shared" si="8"/>
        <v>February</v>
      </c>
      <c r="F49" t="str">
        <f t="shared" si="9"/>
        <v>Sunday</v>
      </c>
      <c r="G49" s="2">
        <f t="shared" ca="1" si="10"/>
        <v>-2</v>
      </c>
      <c r="H49">
        <f t="shared" si="11"/>
        <v>9</v>
      </c>
      <c r="I49">
        <f t="shared" si="12"/>
        <v>10</v>
      </c>
    </row>
    <row r="51" spans="2:9">
      <c r="B51" s="5" t="s">
        <v>54</v>
      </c>
    </row>
    <row r="52" spans="2:9">
      <c r="B52" s="5" t="s">
        <v>53</v>
      </c>
      <c r="C52" s="5" t="s">
        <v>52</v>
      </c>
      <c r="D52" s="5" t="s">
        <v>58</v>
      </c>
      <c r="E52" s="5" t="s">
        <v>55</v>
      </c>
      <c r="F52" s="5" t="s">
        <v>56</v>
      </c>
      <c r="G52" s="5" t="s">
        <v>57</v>
      </c>
    </row>
    <row r="53" spans="2:9">
      <c r="B53" s="2">
        <f>COUNTIF(G2:G9,"Pune")</f>
        <v>4</v>
      </c>
      <c r="C53">
        <f>COUNTIF(G2:G9,"Mumbai")</f>
        <v>2</v>
      </c>
      <c r="D53">
        <f>COUNTIF(C2:C9,"Female")</f>
        <v>4</v>
      </c>
      <c r="E53">
        <f>COUNTIF(I2:I9,"&gt;80")</f>
        <v>3</v>
      </c>
      <c r="F53">
        <f>COUNTIF(K2:K9,"YES")</f>
        <v>5</v>
      </c>
      <c r="G53">
        <f>COUNTIFS(G2:G9,"Pune", J2:J9,"&gt;90")</f>
        <v>3</v>
      </c>
    </row>
    <row r="54" spans="2:9">
      <c r="B54" s="2"/>
    </row>
    <row r="55" spans="2:9">
      <c r="B55" s="7" t="s">
        <v>59</v>
      </c>
      <c r="C55" s="5" t="s">
        <v>60</v>
      </c>
      <c r="D55" s="5" t="s">
        <v>61</v>
      </c>
      <c r="E55" s="5" t="s">
        <v>62</v>
      </c>
    </row>
    <row r="56" spans="2:9">
      <c r="B56" s="2">
        <f>SUM(I2:I9)</f>
        <v>533</v>
      </c>
      <c r="C56" s="2">
        <f>AVERAGE(I2:I9)</f>
        <v>66.625</v>
      </c>
      <c r="D56">
        <f>MAX(I2:I9)</f>
        <v>95</v>
      </c>
      <c r="E56">
        <f>MIN(I2:I9)</f>
        <v>30</v>
      </c>
    </row>
    <row r="57" spans="2:9">
      <c r="B57" s="2"/>
    </row>
    <row r="58" spans="2:9">
      <c r="B58" s="7" t="s">
        <v>63</v>
      </c>
    </row>
    <row r="59" spans="2:9">
      <c r="B59" s="5" t="s">
        <v>64</v>
      </c>
      <c r="C59" s="5" t="s">
        <v>65</v>
      </c>
    </row>
    <row r="60" spans="2:9">
      <c r="B60" s="2" t="str">
        <f t="shared" ref="B60:B67" si="13">IF(I2&gt;=40, "Pass", "Fail")</f>
        <v>Pass</v>
      </c>
    </row>
    <row r="61" spans="2:9">
      <c r="B61" s="2" t="str">
        <f t="shared" si="13"/>
        <v>Pass</v>
      </c>
    </row>
    <row r="62" spans="2:9">
      <c r="B62" s="2" t="str">
        <f t="shared" si="13"/>
        <v>Pass</v>
      </c>
    </row>
    <row r="63" spans="2:9">
      <c r="B63" s="2" t="str">
        <f t="shared" si="13"/>
        <v>Fail</v>
      </c>
    </row>
    <row r="64" spans="2:9">
      <c r="B64" s="2" t="str">
        <f t="shared" si="13"/>
        <v>Pass</v>
      </c>
    </row>
    <row r="65" spans="2:2">
      <c r="B65" s="2" t="str">
        <f t="shared" si="13"/>
        <v>Pass</v>
      </c>
    </row>
    <row r="66" spans="2:2">
      <c r="B66" s="2" t="str">
        <f t="shared" si="13"/>
        <v>Pass</v>
      </c>
    </row>
    <row r="67" spans="2:2">
      <c r="B67" s="2" t="str">
        <f t="shared" si="13"/>
        <v>Pass</v>
      </c>
    </row>
    <row r="68" spans="2:2">
      <c r="B68" s="2"/>
    </row>
  </sheetData>
  <mergeCells count="1">
    <mergeCell ref="H41:I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Pradunnya Manmode</dc:creator>
  <cp:lastModifiedBy>Pradunnya Manmode</cp:lastModifiedBy>
  <dcterms:created xsi:type="dcterms:W3CDTF">2026-06-26T07:02:51Z</dcterms:created>
  <dcterms:modified xsi:type="dcterms:W3CDTF">2026-06-26T08:39:18Z</dcterms:modified>
</cp:coreProperties>
</file>